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so8337/git/GSP_vial_metrics_pydra/TemplateData/"/>
    </mc:Choice>
  </mc:AlternateContent>
  <xr:revisionPtr revIDLastSave="0" documentId="13_ncr:1_{0FDB38A3-2154-2D47-A3F1-CB8A4A47148C}" xr6:coauthVersionLast="47" xr6:coauthVersionMax="47" xr10:uidLastSave="{00000000-0000-0000-0000-000000000000}"/>
  <bookViews>
    <workbookView xWindow="3840" yWindow="-18800" windowWidth="28040" windowHeight="16280" xr2:uid="{8AC63C86-3DAD-A04D-8D10-649E5D728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H2" i="1"/>
  <c r="G2" i="1"/>
  <c r="F2" i="1"/>
  <c r="E2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<sst xmlns="http://schemas.openxmlformats.org/spreadsheetml/2006/main" count="15" uniqueCount="15">
  <si>
    <t>E</t>
  </si>
  <si>
    <t>F</t>
  </si>
  <si>
    <t>G</t>
  </si>
  <si>
    <t>H</t>
  </si>
  <si>
    <t>I</t>
  </si>
  <si>
    <t>J</t>
  </si>
  <si>
    <t>K</t>
  </si>
  <si>
    <t>L</t>
  </si>
  <si>
    <t>Vial</t>
  </si>
  <si>
    <t>ADC mm2/s</t>
  </si>
  <si>
    <t>ADC (x10^-3) mm2/s</t>
  </si>
  <si>
    <t>10% upper</t>
  </si>
  <si>
    <t>10% lower</t>
  </si>
  <si>
    <t>5% upper</t>
  </si>
  <si>
    <t>5%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</si>
</sst>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F3AF-70B4-1046-BF92-3066926C337D}">
  <dimension ref="A1:H9"/>
  <sheetViews>
    <sheetView tabSelected="1" workbookViewId="0">
      <selection activeCell="E12" sqref="E12"/>
    </sheetView>
  </sheetViews>
  <sheetFormatPr baseColWidth="10" defaultRowHeight="16" x14ac:dyDescent="0.2"/>
  <cols>
    <col min="1" max="1" width="8.5" customWidth="1"/>
    <col min="2" max="2" width="15.5" customWidth="1"/>
  </cols>
  <sheetData>
    <row r="1" spans="1:8" s="1" customFormat="1" x14ac:dyDescent="0.2">
      <c r="A1" s="1" t="s">
        <v>8</v>
      </c>
      <c r="B1" s="1" t="s">
        <v>10</v>
      </c>
      <c r="C1" s="1" t="s">
        <v>9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">
      <c r="A2" t="s">
        <v>0</v>
      </c>
      <c r="B2">
        <v>1.82</v>
      </c>
      <c r="C2">
        <f>B2*10^-3</f>
        <v>1.82E-3</v>
      </c>
      <c r="E2">
        <f>C2*1.1</f>
        <v>2.0020000000000003E-3</v>
      </c>
      <c r="F2">
        <f>C2*0.9</f>
        <v>1.6380000000000001E-3</v>
      </c>
      <c r="G2">
        <f>C2*1.05</f>
        <v>1.9110000000000002E-3</v>
      </c>
      <c r="H2">
        <f>C2*0.95</f>
        <v>1.7289999999999999E-3</v>
      </c>
    </row>
    <row r="3" spans="1:8" x14ac:dyDescent="0.2">
      <c r="A3" t="s">
        <v>1</v>
      </c>
      <c r="B3">
        <v>1.59</v>
      </c>
      <c r="C3">
        <f t="shared" ref="C3:C9" si="0">B3*10^-3</f>
        <v>1.5900000000000001E-3</v>
      </c>
      <c r="E3">
        <f t="shared" ref="E3:E9" si="1">C3*1.1</f>
        <v>1.7490000000000001E-3</v>
      </c>
      <c r="F3">
        <f t="shared" ref="F3:F9" si="2">C3*0.9</f>
        <v>1.431E-3</v>
      </c>
      <c r="G3">
        <f t="shared" ref="G3:G9" si="3">C3*1.05</f>
        <v>1.6695000000000002E-3</v>
      </c>
      <c r="H3">
        <f t="shared" ref="H3:H9" si="4">C3*0.95</f>
        <v>1.5104999999999999E-3</v>
      </c>
    </row>
    <row r="4" spans="1:8" x14ac:dyDescent="0.2">
      <c r="A4" t="s">
        <v>2</v>
      </c>
      <c r="B4">
        <v>1.37</v>
      </c>
      <c r="C4">
        <f t="shared" si="0"/>
        <v>1.3700000000000001E-3</v>
      </c>
      <c r="E4">
        <f t="shared" si="1"/>
        <v>1.5070000000000003E-3</v>
      </c>
      <c r="F4">
        <f t="shared" si="2"/>
        <v>1.2330000000000002E-3</v>
      </c>
      <c r="G4">
        <f t="shared" si="3"/>
        <v>1.4385000000000001E-3</v>
      </c>
      <c r="H4">
        <f t="shared" si="4"/>
        <v>1.3015000000000001E-3</v>
      </c>
    </row>
    <row r="5" spans="1:8" x14ac:dyDescent="0.2">
      <c r="A5" t="s">
        <v>3</v>
      </c>
      <c r="B5">
        <v>1.18</v>
      </c>
      <c r="C5">
        <f t="shared" si="0"/>
        <v>1.1800000000000001E-3</v>
      </c>
      <c r="E5">
        <f t="shared" si="1"/>
        <v>1.2980000000000001E-3</v>
      </c>
      <c r="F5">
        <f t="shared" si="2"/>
        <v>1.062E-3</v>
      </c>
      <c r="G5">
        <f t="shared" si="3"/>
        <v>1.2390000000000001E-3</v>
      </c>
      <c r="H5">
        <f t="shared" si="4"/>
        <v>1.121E-3</v>
      </c>
    </row>
    <row r="6" spans="1:8" x14ac:dyDescent="0.2">
      <c r="A6" t="s">
        <v>4</v>
      </c>
      <c r="B6">
        <v>1</v>
      </c>
      <c r="C6">
        <f t="shared" si="0"/>
        <v>1E-3</v>
      </c>
      <c r="E6">
        <f t="shared" si="1"/>
        <v>1.1000000000000001E-3</v>
      </c>
      <c r="F6">
        <f t="shared" si="2"/>
        <v>9.0000000000000008E-4</v>
      </c>
      <c r="G6">
        <f t="shared" si="3"/>
        <v>1.0500000000000002E-3</v>
      </c>
      <c r="H6">
        <f t="shared" si="4"/>
        <v>9.5E-4</v>
      </c>
    </row>
    <row r="7" spans="1:8" x14ac:dyDescent="0.2">
      <c r="A7" t="s">
        <v>5</v>
      </c>
      <c r="B7">
        <v>0.84</v>
      </c>
      <c r="C7">
        <f t="shared" si="0"/>
        <v>8.4000000000000003E-4</v>
      </c>
      <c r="E7">
        <f t="shared" si="1"/>
        <v>9.2400000000000013E-4</v>
      </c>
      <c r="F7">
        <f t="shared" si="2"/>
        <v>7.5600000000000005E-4</v>
      </c>
      <c r="G7">
        <f t="shared" si="3"/>
        <v>8.8200000000000008E-4</v>
      </c>
      <c r="H7">
        <f t="shared" si="4"/>
        <v>7.9799999999999999E-4</v>
      </c>
    </row>
    <row r="8" spans="1:8" x14ac:dyDescent="0.2">
      <c r="A8" t="s">
        <v>6</v>
      </c>
      <c r="B8">
        <v>0.54</v>
      </c>
      <c r="C8">
        <f t="shared" si="0"/>
        <v>5.4000000000000001E-4</v>
      </c>
      <c r="E8">
        <f t="shared" si="1"/>
        <v>5.9400000000000002E-4</v>
      </c>
      <c r="F8">
        <f t="shared" si="2"/>
        <v>4.86E-4</v>
      </c>
      <c r="G8">
        <f t="shared" si="3"/>
        <v>5.6700000000000001E-4</v>
      </c>
      <c r="H8">
        <f t="shared" si="4"/>
        <v>5.13E-4</v>
      </c>
    </row>
    <row r="9" spans="1:8" x14ac:dyDescent="0.2">
      <c r="A9" t="s">
        <v>7</v>
      </c>
      <c r="B9">
        <v>0.32</v>
      </c>
      <c r="C9">
        <f t="shared" si="0"/>
        <v>3.2000000000000003E-4</v>
      </c>
      <c r="E9">
        <f t="shared" si="1"/>
        <v>3.5200000000000005E-4</v>
      </c>
      <c r="F9">
        <f t="shared" si="2"/>
        <v>2.8800000000000001E-4</v>
      </c>
      <c r="G9">
        <f t="shared" si="3"/>
        <v>3.3600000000000004E-4</v>
      </c>
      <c r="H9">
        <f t="shared" si="4"/>
        <v>3.0400000000000002E-4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Arkiev D'Souza</dc:creator>
  <cp:lastModifiedBy>Arkiev D'Souza</cp:lastModifiedBy>
  <dcterms:created xsi:type="dcterms:W3CDTF">2026-03-11T02:28:06Z</dcterms:created>
  <dcterms:modified xsi:type="dcterms:W3CDTF">2026-03-11T02:38:22Z</dcterms:modified>
</cp:coreProperties>
</file>